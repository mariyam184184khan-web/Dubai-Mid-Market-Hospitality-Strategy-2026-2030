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sumptions" sheetId="1" state="visible" r:id="rId1"/>
    <sheet xmlns:r="http://schemas.openxmlformats.org/officeDocument/2006/relationships" name="Base_Case" sheetId="2" state="visible" r:id="rId2"/>
    <sheet xmlns:r="http://schemas.openxmlformats.org/officeDocument/2006/relationships" name="ADR_Sensitivity" sheetId="3" state="visible" r:id="rId3"/>
    <sheet xmlns:r="http://schemas.openxmlformats.org/officeDocument/2006/relationships" name="OTA_Shift_Model" sheetId="4" state="visible" r:id="rId4"/>
    <sheet xmlns:r="http://schemas.openxmlformats.org/officeDocument/2006/relationships" name="Scenario_Output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FF2CC"/>
        <bgColor rgb="00FFF2CC"/>
      </patternFill>
    </fill>
    <fill>
      <patternFill patternType="solid">
        <fgColor rgb="00F9F9F9"/>
        <bgColor rgb="00F9F9F9"/>
      </patternFill>
    </fill>
  </fills>
  <borders count="2">
    <border>
      <left/>
      <right/>
      <top/>
      <bottom/>
      <diagonal/>
    </border>
    <border>
      <left style="thin">
        <color rgb="00A6A6A6"/>
      </left>
      <right style="thin">
        <color rgb="00A6A6A6"/>
      </right>
      <top style="thin">
        <color rgb="00A6A6A6"/>
      </top>
      <bottom style="thin">
        <color rgb="00A6A6A6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1" fontId="0" fillId="3" borderId="1" applyAlignment="1" pivotButton="0" quotePrefix="0" xfId="0">
      <alignment horizontal="right" vertical="center" wrapText="1"/>
    </xf>
    <xf numFmtId="0" fontId="0" fillId="0" borderId="1" applyAlignment="1" pivotButton="0" quotePrefix="0" xfId="0">
      <alignment horizontal="right" vertical="center" wrapText="1"/>
    </xf>
    <xf numFmtId="10" fontId="0" fillId="3" borderId="1" applyAlignment="1" pivotButton="0" quotePrefix="0" xfId="0">
      <alignment horizontal="right" vertical="center" wrapText="1"/>
    </xf>
    <xf numFmtId="3" fontId="0" fillId="3" borderId="1" applyAlignment="1" pivotButton="0" quotePrefix="0" xfId="0">
      <alignment horizontal="right" vertical="center" wrapText="1"/>
    </xf>
    <xf numFmtId="3" fontId="0" fillId="4" borderId="1" applyAlignment="1" pivotButton="0" quotePrefix="0" xfId="0">
      <alignment horizontal="right" vertical="center" wrapText="1"/>
    </xf>
    <xf numFmtId="10" fontId="0" fillId="4" borderId="1" applyAlignment="1" pivotButton="0" quotePrefix="0" xfId="0">
      <alignment horizontal="right" vertical="center" wrapText="1"/>
    </xf>
    <xf numFmtId="0" fontId="3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16" customWidth="1" min="2" max="2"/>
    <col width="10" customWidth="1" min="3" max="3"/>
    <col width="42" customWidth="1" min="4" max="4"/>
  </cols>
  <sheetData>
    <row r="1">
      <c r="A1" s="1" t="inlineStr">
        <is>
          <t>FINANCIAL IMPACT MODEL – ASSUMPTIONS (Illustrative)</t>
        </is>
      </c>
    </row>
    <row r="3">
      <c r="A3" s="2" t="inlineStr">
        <is>
          <t>Assumption</t>
        </is>
      </c>
      <c r="B3" s="2" t="inlineStr">
        <is>
          <t>Value</t>
        </is>
      </c>
      <c r="C3" s="2" t="inlineStr">
        <is>
          <t>Unit</t>
        </is>
      </c>
      <c r="D3" s="2" t="inlineStr">
        <is>
          <t>Notes</t>
        </is>
      </c>
    </row>
    <row r="4">
      <c r="A4" s="3" t="inlineStr">
        <is>
          <t>Number of Rooms</t>
        </is>
      </c>
      <c r="B4" s="4" t="n">
        <v>250</v>
      </c>
      <c r="C4" s="5" t="inlineStr">
        <is>
          <t>rooms</t>
        </is>
      </c>
      <c r="D4" s="3" t="inlineStr">
        <is>
          <t>Illustrative portfolio size</t>
        </is>
      </c>
    </row>
    <row r="5">
      <c r="A5" s="3" t="inlineStr">
        <is>
          <t>Occupancy Rate</t>
        </is>
      </c>
      <c r="B5" s="6" t="n">
        <v>0.72</v>
      </c>
      <c r="C5" s="5" t="inlineStr">
        <is>
          <t>%</t>
        </is>
      </c>
      <c r="D5" s="3" t="inlineStr">
        <is>
          <t>Stabilized occupancy range</t>
        </is>
      </c>
    </row>
    <row r="6">
      <c r="A6" s="3" t="inlineStr">
        <is>
          <t>ADR</t>
        </is>
      </c>
      <c r="B6" s="7" t="n">
        <v>450</v>
      </c>
      <c r="C6" s="5" t="inlineStr">
        <is>
          <t>AED</t>
        </is>
      </c>
      <c r="D6" s="3" t="inlineStr">
        <is>
          <t>Illustrative baseline ADR</t>
        </is>
      </c>
    </row>
    <row r="7">
      <c r="A7" s="3" t="inlineStr">
        <is>
          <t>Days per Year</t>
        </is>
      </c>
      <c r="B7" s="4" t="n">
        <v>365</v>
      </c>
      <c r="C7" s="5" t="inlineStr">
        <is>
          <t>days</t>
        </is>
      </c>
      <c r="D7" s="3" t="inlineStr">
        <is>
          <t>Constant</t>
        </is>
      </c>
    </row>
    <row r="8">
      <c r="A8" s="3" t="inlineStr">
        <is>
          <t>OTA Share</t>
        </is>
      </c>
      <c r="B8" s="6" t="n">
        <v>0.55</v>
      </c>
      <c r="C8" s="5" t="inlineStr">
        <is>
          <t>%</t>
        </is>
      </c>
      <c r="D8" s="3" t="inlineStr">
        <is>
          <t>Share of bookings via OTAs</t>
        </is>
      </c>
    </row>
    <row r="9">
      <c r="A9" s="3" t="inlineStr">
        <is>
          <t>OTA Commission</t>
        </is>
      </c>
      <c r="B9" s="6" t="n">
        <v>0.2</v>
      </c>
      <c r="C9" s="5" t="inlineStr">
        <is>
          <t>%</t>
        </is>
      </c>
      <c r="D9" s="3" t="inlineStr">
        <is>
          <t>Commission range 15–25%</t>
        </is>
      </c>
    </row>
    <row r="10">
      <c r="A10" s="3" t="inlineStr">
        <is>
          <t>Other Distribution Cost</t>
        </is>
      </c>
      <c r="B10" s="6" t="n">
        <v>0.02</v>
      </c>
      <c r="C10" s="5" t="inlineStr">
        <is>
          <t>%</t>
        </is>
      </c>
      <c r="D10" s="3" t="inlineStr">
        <is>
          <t>Payment/processing/other</t>
        </is>
      </c>
    </row>
    <row r="11">
      <c r="A11" s="3" t="inlineStr">
        <is>
          <t>Operating Cost Rate</t>
        </is>
      </c>
      <c r="B11" s="6" t="n">
        <v>0.78</v>
      </c>
      <c r="C11" s="5" t="inlineStr">
        <is>
          <t>%</t>
        </is>
      </c>
      <c r="D11" s="3" t="inlineStr">
        <is>
          <t>As % of net revenue</t>
        </is>
      </c>
    </row>
    <row r="12">
      <c r="A12" s="3" t="inlineStr">
        <is>
          <t>ADR Uplift +2%</t>
        </is>
      </c>
      <c r="B12" s="6" t="n">
        <v>0.02</v>
      </c>
      <c r="C12" s="5" t="inlineStr">
        <is>
          <t>%</t>
        </is>
      </c>
      <c r="D12" s="3" t="inlineStr">
        <is>
          <t>Sensitivity lever</t>
        </is>
      </c>
    </row>
    <row r="13">
      <c r="A13" s="3" t="inlineStr">
        <is>
          <t>ADR Uplift +4%</t>
        </is>
      </c>
      <c r="B13" s="6" t="n">
        <v>0.04</v>
      </c>
      <c r="C13" s="5" t="inlineStr">
        <is>
          <t>%</t>
        </is>
      </c>
      <c r="D13" s="3" t="inlineStr">
        <is>
          <t>Sensitivity lever</t>
        </is>
      </c>
    </row>
    <row r="14">
      <c r="A14" s="3" t="inlineStr">
        <is>
          <t>OTA Reduction (pp)</t>
        </is>
      </c>
      <c r="B14" s="6" t="n">
        <v>0.05</v>
      </c>
      <c r="C14" s="5" t="inlineStr">
        <is>
          <t>pp</t>
        </is>
      </c>
      <c r="D14" s="3" t="inlineStr">
        <is>
          <t>Reduce OTA share by 5pp</t>
        </is>
      </c>
    </row>
    <row r="15">
      <c r="A15" s="3" t="inlineStr">
        <is>
          <t>Cost Efficiency</t>
        </is>
      </c>
      <c r="B15" s="6" t="n">
        <v>0.04</v>
      </c>
      <c r="C15" s="5" t="inlineStr">
        <is>
          <t>%</t>
        </is>
      </c>
      <c r="D15" s="3" t="inlineStr">
        <is>
          <t>Reduce operating cost rate by 4%</t>
        </is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34" customWidth="1" min="2" max="2"/>
    <col width="18" customWidth="1" min="3" max="3"/>
    <col width="12" customWidth="1" min="4" max="4"/>
  </cols>
  <sheetData>
    <row r="1">
      <c r="A1" s="1" t="inlineStr">
        <is>
          <t>BASE CASE – REVENUE, DISTRIBUTION COSTS &amp; EBITDA</t>
        </is>
      </c>
    </row>
    <row r="3">
      <c r="A3" s="2" t="inlineStr">
        <is>
          <t>Metric</t>
        </is>
      </c>
      <c r="B3" s="2" t="inlineStr">
        <is>
          <t>Formula</t>
        </is>
      </c>
      <c r="C3" s="2" t="inlineStr">
        <is>
          <t>Value</t>
        </is>
      </c>
      <c r="D3" s="2" t="inlineStr">
        <is>
          <t>Unit</t>
        </is>
      </c>
    </row>
    <row r="4">
      <c r="A4" s="3" t="inlineStr">
        <is>
          <t>Available Room Nights</t>
        </is>
      </c>
      <c r="B4" s="3">
        <f>Assumptions!B4*Assumptions!B7</f>
        <v/>
      </c>
      <c r="C4" s="8">
        <f>B4</f>
        <v/>
      </c>
      <c r="D4" s="5" t="inlineStr">
        <is>
          <t>room-nights</t>
        </is>
      </c>
    </row>
    <row r="5">
      <c r="A5" s="3" t="inlineStr">
        <is>
          <t>Room Nights Sold</t>
        </is>
      </c>
      <c r="B5" s="3">
        <f>Assumptions!B5*C4</f>
        <v/>
      </c>
      <c r="C5" s="8">
        <f>B5</f>
        <v/>
      </c>
      <c r="D5" s="5" t="inlineStr">
        <is>
          <t>room-nights</t>
        </is>
      </c>
    </row>
    <row r="6">
      <c r="A6" s="3" t="inlineStr">
        <is>
          <t>Gross Room Revenue</t>
        </is>
      </c>
      <c r="B6" s="3">
        <f>Assumptions!B6*C5</f>
        <v/>
      </c>
      <c r="C6" s="8">
        <f>B6</f>
        <v/>
      </c>
      <c r="D6" s="5" t="inlineStr">
        <is>
          <t>AED</t>
        </is>
      </c>
    </row>
    <row r="7">
      <c r="A7" s="3" t="inlineStr">
        <is>
          <t>OTA Commission Cost</t>
        </is>
      </c>
      <c r="B7" s="3">
        <f>Assumptions!B8*Assumptions!B9*C6</f>
        <v/>
      </c>
      <c r="C7" s="8">
        <f>B7</f>
        <v/>
      </c>
      <c r="D7" s="5" t="inlineStr">
        <is>
          <t>AED</t>
        </is>
      </c>
    </row>
    <row r="8">
      <c r="A8" s="3" t="inlineStr">
        <is>
          <t>Other Distribution Costs</t>
        </is>
      </c>
      <c r="B8" s="3">
        <f>Assumptions!B10*C6</f>
        <v/>
      </c>
      <c r="C8" s="8">
        <f>B8</f>
        <v/>
      </c>
      <c r="D8" s="5" t="inlineStr">
        <is>
          <t>AED</t>
        </is>
      </c>
    </row>
    <row r="9">
      <c r="A9" s="3" t="inlineStr">
        <is>
          <t>Net Revenue (after distribution)</t>
        </is>
      </c>
      <c r="B9" s="3">
        <f>C6-C7-C8</f>
        <v/>
      </c>
      <c r="C9" s="8">
        <f>B9</f>
        <v/>
      </c>
      <c r="D9" s="5" t="inlineStr">
        <is>
          <t>AED</t>
        </is>
      </c>
    </row>
    <row r="10">
      <c r="A10" s="3" t="inlineStr">
        <is>
          <t>Operating Costs</t>
        </is>
      </c>
      <c r="B10" s="3">
        <f>Assumptions!B11*C9</f>
        <v/>
      </c>
      <c r="C10" s="8">
        <f>B10</f>
        <v/>
      </c>
      <c r="D10" s="5" t="inlineStr">
        <is>
          <t>AED</t>
        </is>
      </c>
    </row>
    <row r="11">
      <c r="A11" s="3" t="inlineStr">
        <is>
          <t>EBITDA</t>
        </is>
      </c>
      <c r="B11" s="3">
        <f>C9-C10</f>
        <v/>
      </c>
      <c r="C11" s="8">
        <f>B11</f>
        <v/>
      </c>
      <c r="D11" s="5" t="inlineStr">
        <is>
          <t>AED</t>
        </is>
      </c>
    </row>
    <row r="12">
      <c r="A12" s="3" t="inlineStr">
        <is>
          <t>EBITDA Margin</t>
        </is>
      </c>
      <c r="B12" s="3">
        <f>IF(C9=0,0,C11/C9)</f>
        <v/>
      </c>
      <c r="C12" s="9">
        <f>B12</f>
        <v/>
      </c>
      <c r="D12" s="5" t="inlineStr">
        <is>
          <t>%</t>
        </is>
      </c>
    </row>
  </sheetData>
  <mergeCells count="1">
    <mergeCell ref="A1:D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8" customWidth="1" min="3" max="3"/>
    <col width="16" customWidth="1" min="4" max="4"/>
    <col width="16" customWidth="1" min="5" max="5"/>
  </cols>
  <sheetData>
    <row r="1">
      <c r="A1" s="1" t="inlineStr">
        <is>
          <t>ADR SENSITIVITY – NET REVENUE &amp; EBITDA IMPACT</t>
        </is>
      </c>
    </row>
    <row r="3">
      <c r="A3" s="2" t="inlineStr">
        <is>
          <t>Scenario</t>
        </is>
      </c>
      <c r="B3" s="2" t="inlineStr">
        <is>
          <t>ADR (AED)</t>
        </is>
      </c>
      <c r="C3" s="2" t="inlineStr">
        <is>
          <t>Net Revenue (AED)</t>
        </is>
      </c>
      <c r="D3" s="2" t="inlineStr">
        <is>
          <t>EBITDA (AED)</t>
        </is>
      </c>
      <c r="E3" s="2" t="inlineStr">
        <is>
          <t>EBITDA Margin</t>
        </is>
      </c>
    </row>
    <row r="4">
      <c r="A4" s="3" t="inlineStr">
        <is>
          <t>Base</t>
        </is>
      </c>
      <c r="B4" s="8">
        <f>Assumptions!B6</f>
        <v/>
      </c>
      <c r="C4" s="8">
        <f>(Base_Case!C5)*B4*(1-(Assumptions!B8)*(Assumptions!B9)-(Assumptions!B10))</f>
        <v/>
      </c>
      <c r="D4" s="8">
        <f>(Base_Case!C5)*B4*(1-(Assumptions!B8)*(Assumptions!B9)-(Assumptions!B10))*(1-(Assumptions!B11))</f>
        <v/>
      </c>
      <c r="E4" s="9">
        <f>IF(C4=0,0,D4/C4)</f>
        <v/>
      </c>
    </row>
    <row r="5">
      <c r="A5" s="3" t="inlineStr">
        <is>
          <t>+2% ADR</t>
        </is>
      </c>
      <c r="B5" s="8">
        <f>Assumptions!B6*(1+Assumptions!B12)</f>
        <v/>
      </c>
      <c r="C5" s="8">
        <f>(Base_Case!C5)*B5*(1-(Assumptions!B8)*(Assumptions!B9)-(Assumptions!B10))</f>
        <v/>
      </c>
      <c r="D5" s="8">
        <f>(Base_Case!C5)*B5*(1-(Assumptions!B8)*(Assumptions!B9)-(Assumptions!B10))*(1-(Assumptions!B11))</f>
        <v/>
      </c>
      <c r="E5" s="9">
        <f>IF(C5=0,0,D5/C5)</f>
        <v/>
      </c>
    </row>
    <row r="6">
      <c r="A6" s="3" t="inlineStr">
        <is>
          <t>+4% ADR</t>
        </is>
      </c>
      <c r="B6" s="8">
        <f>Assumptions!B6*(1+Assumptions!B13)</f>
        <v/>
      </c>
      <c r="C6" s="8">
        <f>(Base_Case!C5)*B6*(1-(Assumptions!B8)*(Assumptions!B9)-(Assumptions!B10))</f>
        <v/>
      </c>
      <c r="D6" s="8">
        <f>(Base_Case!C5)*B6*(1-(Assumptions!B8)*(Assumptions!B9)-(Assumptions!B10))*(1-(Assumptions!B11))</f>
        <v/>
      </c>
      <c r="E6" s="9">
        <f>IF(C6=0,0,D6/C6)</f>
        <v/>
      </c>
    </row>
  </sheetData>
  <mergeCells count="1"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12" customWidth="1" min="2" max="2"/>
    <col width="18" customWidth="1" min="3" max="3"/>
    <col width="16" customWidth="1" min="4" max="4"/>
    <col width="16" customWidth="1" min="5" max="5"/>
  </cols>
  <sheetData>
    <row r="1">
      <c r="A1" s="1" t="inlineStr">
        <is>
          <t>OTA SHARE SHIFT – NET REVENUE &amp; EBITDA IMPACT</t>
        </is>
      </c>
    </row>
    <row r="3">
      <c r="A3" s="2" t="inlineStr">
        <is>
          <t>Scenario</t>
        </is>
      </c>
      <c r="B3" s="2" t="inlineStr">
        <is>
          <t>OTA Share</t>
        </is>
      </c>
      <c r="C3" s="2" t="inlineStr">
        <is>
          <t>Net Revenue (AED)</t>
        </is>
      </c>
      <c r="D3" s="2" t="inlineStr">
        <is>
          <t>EBITDA (AED)</t>
        </is>
      </c>
      <c r="E3" s="2" t="inlineStr">
        <is>
          <t>EBITDA Margin</t>
        </is>
      </c>
    </row>
    <row r="4">
      <c r="A4" s="3" t="inlineStr">
        <is>
          <t>Base</t>
        </is>
      </c>
      <c r="B4" s="9">
        <f>Assumptions!B8</f>
        <v/>
      </c>
      <c r="C4" s="8">
        <f>(Base_Case!C5)*(Assumptions!B6)*(1-(B4)*(Assumptions!B9)-(Assumptions!B10))</f>
        <v/>
      </c>
      <c r="D4" s="8">
        <f>(Base_Case!C5)*(Assumptions!B6)*(1-(B4)*(Assumptions!B9)-(Assumptions!B10))*(1-(Assumptions!B11))</f>
        <v/>
      </c>
      <c r="E4" s="9">
        <f>IF(C4=0,0,D4/C4)</f>
        <v/>
      </c>
    </row>
    <row r="5">
      <c r="A5" s="3" t="inlineStr">
        <is>
          <t>-5pp OTA share</t>
        </is>
      </c>
      <c r="B5" s="9">
        <f>MAX(0,Assumptions!B8-Assumptions!B14)</f>
        <v/>
      </c>
      <c r="C5" s="8">
        <f>(Base_Case!C5)*(Assumptions!B6)*(1-(B5)*(Assumptions!B9)-(Assumptions!B10))</f>
        <v/>
      </c>
      <c r="D5" s="8">
        <f>(Base_Case!C5)*(Assumptions!B6)*(1-(B5)*(Assumptions!B9)-(Assumptions!B10))*(1-(Assumptions!B11))</f>
        <v/>
      </c>
      <c r="E5" s="9">
        <f>IF(C5=0,0,D5/C5)</f>
        <v/>
      </c>
    </row>
  </sheetData>
  <mergeCells count="1">
    <mergeCell ref="A1:E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18" customWidth="1" min="2" max="2"/>
    <col width="18" customWidth="1" min="3" max="3"/>
    <col width="18" customWidth="1" min="4" max="4"/>
  </cols>
  <sheetData>
    <row r="1">
      <c r="A1" s="1" t="inlineStr">
        <is>
          <t>SCENARIO OUTPUT – BASE VS OPTIMISTIC VS RISK</t>
        </is>
      </c>
    </row>
    <row r="3">
      <c r="A3" s="2" t="inlineStr">
        <is>
          <t>Metric</t>
        </is>
      </c>
      <c r="B3" s="2" t="inlineStr">
        <is>
          <t>Base</t>
        </is>
      </c>
      <c r="C3" s="2" t="inlineStr">
        <is>
          <t>Optimistic</t>
        </is>
      </c>
      <c r="D3" s="2" t="inlineStr">
        <is>
          <t>Risk</t>
        </is>
      </c>
    </row>
    <row r="4">
      <c r="A4" s="3" t="inlineStr">
        <is>
          <t>Net Revenue (AED)</t>
        </is>
      </c>
      <c r="B4" s="8">
        <f>(Base_Case!C5)*(Assumptions!B6)*(1-(Assumptions!B8)*(Assumptions!B9)-(Assumptions!B10))</f>
        <v/>
      </c>
      <c r="C4" s="8">
        <f>(Base_Case!C5)*(Assumptions!B6*(1+Assumptions!B12))*(1-(MAX(0,Assumptions!B8-Assumptions!B14))*(Assumptions!B9)-(Assumptions!B10))</f>
        <v/>
      </c>
      <c r="D4" s="8">
        <f>(Base_Case!C5)*(Assumptions!B6*(1-Assumptions!B12))*(1-(MIN(1,Assumptions!B8+Assumptions!B14))*(Assumptions!B9)-(Assumptions!B10))</f>
        <v/>
      </c>
    </row>
    <row r="5">
      <c r="A5" s="3" t="inlineStr">
        <is>
          <t>EBITDA (AED)</t>
        </is>
      </c>
      <c r="B5" s="8">
        <f>(Base_Case!C5)*(Assumptions!B6)*(1-(Assumptions!B8)*(Assumptions!B9)-(Assumptions!B10))*(1-(Assumptions!B11))</f>
        <v/>
      </c>
      <c r="C5" s="8">
        <f>(Base_Case!C5)*(Assumptions!B6*(1+Assumptions!B12))*(1-(MAX(0,Assumptions!B8-Assumptions!B14))*(Assumptions!B9)-(Assumptions!B10))*(1-(MAX(0,Assumptions!B11*(1-Assumptions!B15))))</f>
        <v/>
      </c>
      <c r="D5" s="8">
        <f>(Base_Case!C5)*(Assumptions!B6*(1-Assumptions!B12))*(1-(MIN(1,Assumptions!B8+Assumptions!B14))*(Assumptions!B9)-(Assumptions!B10))*(1-(MIN(1,Assumptions!B11*(1+0.03))))</f>
        <v/>
      </c>
    </row>
    <row r="6">
      <c r="A6" s="3" t="inlineStr">
        <is>
          <t>EBITDA Margin</t>
        </is>
      </c>
      <c r="B6" s="9">
        <f>IF(B4=0,0,B5/B4)</f>
        <v/>
      </c>
      <c r="C6" s="9">
        <f>IF(C4=0,0,C5/C4)</f>
        <v/>
      </c>
      <c r="D6" s="9">
        <f>IF(D4=0,0,D5/D4)</f>
        <v/>
      </c>
    </row>
    <row r="8">
      <c r="A8" s="10" t="inlineStr">
        <is>
          <t>Notes</t>
        </is>
      </c>
    </row>
    <row r="9">
      <c r="A9" s="3" t="inlineStr">
        <is>
          <t>Optimistic: ADR +2%, OTA share -5pp, operating cost rate reduced by 4% efficiency.</t>
        </is>
      </c>
    </row>
    <row r="10">
      <c r="A10" s="3" t="inlineStr">
        <is>
          <t>Risk: ADR -2%, OTA share +5pp, operating cost rate increased by 3% inflation.</t>
        </is>
      </c>
    </row>
  </sheetData>
  <mergeCells count="4">
    <mergeCell ref="A1:D1"/>
    <mergeCell ref="A9:D9"/>
    <mergeCell ref="A8:D8"/>
    <mergeCell ref="A10:D1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2026-02-15T14:03:37Z</dcterms:created>
  <dcterms:modified xmlns:dcterms="http://purl.org/dc/terms/" xmlns:xsi="http://www.w3.org/2001/XMLSchema-instance" xsi:type="dcterms:W3CDTF">2026-02-15T14:03:37Z</dcterms:modified>
</cp:coreProperties>
</file>